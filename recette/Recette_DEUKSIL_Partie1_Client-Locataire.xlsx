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 de test" sheetId="1" state="visible" r:id="rId3"/>
    <sheet name="Mode d'emploi" sheetId="2" state="visible" r:id="rId4"/>
  </sheets>
  <definedNames>
    <definedName function="false" hidden="false" localSheetId="0" name="_xlnm.Print_Titles" vbProcedure="false">'Cas de test'!$9:$9</definedName>
    <definedName function="false" hidden="true" localSheetId="0" name="_xlnm._FilterDatabase" vbProcedure="false">'Cas de test'!$A$9:$I$26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<sst xmlns="http://schemas.openxmlformats.org/spreadsheetml/2006/main" count="152" uniqueCount="125">
  <si>
    <t xml:space="preserve">Recette DEUKSIL — Partie 1 : Client et locataire</t>
  </si>
  <si>
    <t xml:space="preserve">17 cas · démo front-end · application : https://claude.ai/artifact/6UVqLB438w5itYoGGAmDya</t>
  </si>
  <si>
    <t xml:space="preserve">Testeur</t>
  </si>
  <si>
    <t xml:space="preserve">Synthèse</t>
  </si>
  <si>
    <t xml:space="preserve">À remplir : cellules jaunes (testeur, date, appareil), colonnes G « Résultat » (liste OK / KO / Bloqué), H « Ce qui ne va pas » et I « Capture ».</t>
  </si>
  <si>
    <t xml:space="preserve">Date du test</t>
  </si>
  <si>
    <t xml:space="preserve">OK</t>
  </si>
  <si>
    <t xml:space="preserve">Appareil / navigateur</t>
  </si>
  <si>
    <t xml:space="preserve">KO</t>
  </si>
  <si>
    <t xml:space="preserve">Bloqué</t>
  </si>
  <si>
    <t xml:space="preserve">À faire</t>
  </si>
  <si>
    <t xml:space="preserve">N°</t>
  </si>
  <si>
    <t xml:space="preserve">Section</t>
  </si>
  <si>
    <t xml:space="preserve">Compte à utiliser</t>
  </si>
  <si>
    <t xml:space="preserve">Cas à tester</t>
  </si>
  <si>
    <t xml:space="preserve">Étapes</t>
  </si>
  <si>
    <t xml:space="preserve">Résultat attendu</t>
  </si>
  <si>
    <t xml:space="preserve">Résultat</t>
  </si>
  <si>
    <t xml:space="preserve">Ce qui ne va pas (si KO / Bloqué)</t>
  </si>
  <si>
    <t xml:space="preserve">Capture (nom du fichier)</t>
  </si>
  <si>
    <t xml:space="preserve">A1</t>
  </si>
  <si>
    <t xml:space="preserve">Accès et comptes</t>
  </si>
  <si>
    <t xml:space="preserve">Écran de connexion (« Utiliser » sur un compte de démo)</t>
  </si>
  <si>
    <t xml:space="preserve">Connexion avec un compte de démonstration</t>
  </si>
  <si>
    <t xml:space="preserve">1. Cliquer « Utiliser » sur un compte
2. Cliquer « Se connecter »</t>
  </si>
  <si>
    <t xml:space="preserve">Arrivée sur le tableau de bord du bon profil, message de bienvenue.</t>
  </si>
  <si>
    <t xml:space="preserve">A2</t>
  </si>
  <si>
    <t xml:space="preserve">Mauvais mot de passe</t>
  </si>
  <si>
    <t xml:space="preserve">1. Saisir un e-mail valide et un faux mot de passe</t>
  </si>
  <si>
    <t xml:space="preserve">Message « Identifiant ou mot de passe incorrect », sans dire lequel est faux.</t>
  </si>
  <si>
    <t xml:space="preserve">A3</t>
  </si>
  <si>
    <t xml:space="preserve">Blocage après 5 essais</t>
  </si>
  <si>
    <t xml:space="preserve">1. Se tromper 5 fois de suite sur le même compte</t>
  </si>
  <si>
    <t xml:space="preserve">Message « Trop d'essais manqués. Réessayez dans 5 min. »</t>
  </si>
  <si>
    <t xml:space="preserve">A4</t>
  </si>
  <si>
    <t xml:space="preserve">Inscription : Client, Propriétaire, Agence</t>
  </si>
  <si>
    <t xml:space="preserve">1. Cliquer « Créer un compte »</t>
  </si>
  <si>
    <t xml:space="preserve">Trois choix : Client (coché), Propriétaire, Agence.</t>
  </si>
  <si>
    <t xml:space="preserve">A4b</t>
  </si>
  <si>
    <t xml:space="preserve">Créer un compte client</t>
  </si>
  <si>
    <t xml:space="preserve">1. Choisir Client, remplir CNI, nom, téléphone, mot de passe</t>
  </si>
  <si>
    <t xml:space="preserve">Compte client créé et connecté.</t>
  </si>
  <si>
    <t xml:space="preserve">V1</t>
  </si>
  <si>
    <t xml:space="preserve">Visiteur et client</t>
  </si>
  <si>
    <t xml:space="preserve">Sans connexion, puis soda.niang@gmail.com · demo123</t>
  </si>
  <si>
    <t xml:space="preserve">Rechercher un bien</t>
  </si>
  <si>
    <t xml:space="preserve">1. Recherche : filtres À louer / À vendre, région, prix</t>
  </si>
  <si>
    <t xml:space="preserve">Les résultats suivent les filtres ; plus de puce « Terrains » (les terrains sont dans « À vendre »).</t>
  </si>
  <si>
    <t xml:space="preserve">V2</t>
  </si>
  <si>
    <t xml:space="preserve">Fiche d'un bien</t>
  </si>
  <si>
    <t xml:space="preserve">1. Ouvrir une annonce</t>
  </si>
  <si>
    <t xml:space="preserve">Photos, prix, surface, localisation visibles ; aucun numéro ni coordonnée de l'annonceur.</t>
  </si>
  <si>
    <t xml:space="preserve">V3</t>
  </si>
  <si>
    <t xml:space="preserve">Voir le numéro sans compte</t>
  </si>
  <si>
    <t xml:space="preserve">1. Cliquer « Voir le numéro »</t>
  </si>
  <si>
    <t xml:space="preserve">Le numéro ne s'affiche pas : la page de connexion s'ouvre.</t>
  </si>
  <si>
    <t xml:space="preserve">V4</t>
  </si>
  <si>
    <t xml:space="preserve">Contacter, visite, favori sans compte</t>
  </si>
  <si>
    <t xml:space="preserve">1. Cliquer « Contacter », « Demander une visite », puis le cœur</t>
  </si>
  <si>
    <t xml:space="preserve">Chaque fois : page de connexion, rien n'est envoyé.</t>
  </si>
  <si>
    <t xml:space="preserve">V5</t>
  </si>
  <si>
    <t xml:space="preserve">Créer un compte et revenir</t>
  </si>
  <si>
    <t xml:space="preserve">1. Depuis la connexion → Créer un compte → Client</t>
  </si>
  <si>
    <t xml:space="preserve">Après l'inscription, retour automatique sur l'annonce ; visite et message possibles.</t>
  </si>
  <si>
    <t xml:space="preserve">V6</t>
  </si>
  <si>
    <t xml:space="preserve">Le client devient locataire</t>
  </si>
  <si>
    <t xml:space="preserve">1. Le propriétaire crée un bail au nom de ce client</t>
  </si>
  <si>
    <t xml:space="preserve">Le même compte passe en locataire (Mon loyer, quittances).</t>
  </si>
  <si>
    <t xml:space="preserve">L1</t>
  </si>
  <si>
    <t xml:space="preserve">Locataire</t>
  </si>
  <si>
    <t xml:space="preserve">tacko.samb@gmail.com (L1/L2 retard : modou.ka@gmail.com) · demo123</t>
  </si>
  <si>
    <t xml:space="preserve">Mon loyer</t>
  </si>
  <si>
    <t xml:space="preserve">1. Se connecter en locataire → Mon loyer</t>
  </si>
  <si>
    <t xml:space="preserve">Échéances, montant, statut ; « en retard » visible pour modou.ka.</t>
  </si>
  <si>
    <t xml:space="preserve">L2</t>
  </si>
  <si>
    <t xml:space="preserve">Payer un loyer</t>
  </si>
  <si>
    <t xml:space="preserve">1. Payer un loyer (paiement simulé)</t>
  </si>
  <si>
    <t xml:space="preserve">Paiement enregistré, compteur de retard mis à jour, quittance disponible.</t>
  </si>
  <si>
    <t xml:space="preserve">L3</t>
  </si>
  <si>
    <t xml:space="preserve">Signaler un problème</t>
  </si>
  <si>
    <t xml:space="preserve">1. Maintenance → nouvelle demande</t>
  </si>
  <si>
    <t xml:space="preserve">Demande visible côté locataire et côté bailleur.</t>
  </si>
  <si>
    <t xml:space="preserve">L4</t>
  </si>
  <si>
    <t xml:space="preserve">Messages au bailleur</t>
  </si>
  <si>
    <t xml:space="preserve">1. Messages → écrire au bailleur</t>
  </si>
  <si>
    <t xml:space="preserve">Message envoyé ; il arrive dans la boîte du bailleur (voir T3).</t>
  </si>
  <si>
    <t xml:space="preserve">T3</t>
  </si>
  <si>
    <t xml:space="preserve">Échanges entre profils</t>
  </si>
  <si>
    <t xml:space="preserve">Plusieurs comptes, dans le même navigateur</t>
  </si>
  <si>
    <t xml:space="preserve">Messagerie locataire ↔ bailleur</t>
  </si>
  <si>
    <t xml:space="preserve">1. Locataire écrit
2. Bailleur répond</t>
  </si>
  <si>
    <t xml:space="preserve">Chaque message arrive chez l'autre, sans doublon de conversation.</t>
  </si>
  <si>
    <t xml:space="preserve">U2</t>
  </si>
  <si>
    <t xml:space="preserve">Affichage et navigation</t>
  </si>
  <si>
    <t xml:space="preserve">Tout compte · ordinateur et téléphone</t>
  </si>
  <si>
    <t xml:space="preserve">Téléphone</t>
  </si>
  <si>
    <t xml:space="preserve">1. Refaire 3 parcours sur un téléphone</t>
  </si>
  <si>
    <t xml:space="preserve">Rien ne déborde, menus et formulaires utilisables.</t>
  </si>
  <si>
    <t xml:space="preserve">Mode d'emploi — Partie 1 : Client et locataire</t>
  </si>
  <si>
    <t xml:space="preserve">Avant de commencer</t>
  </si>
  <si>
    <t xml:space="preserve">1. Ouvrir l'application</t>
  </si>
  <si>
    <t xml:space="preserve">https://claude.ai/artifact/6UVqLB438w5itYoGGAmDya  (le lien doit vous avoir été partagé)</t>
  </si>
  <si>
    <t xml:space="preserve">2. Repartir de zéro</t>
  </si>
  <si>
    <t xml:space="preserve">Écran de connexion → bouton « Repartir de zéro » → confirmer. Tout le monde part des mêmes données.</t>
  </si>
  <si>
    <t xml:space="preserve">3. Se connecter</t>
  </si>
  <si>
    <t xml:space="preserve">« Guide de test » connecte en un clic, ou « Utiliser » à côté du compte indiqué dans la colonne C.</t>
  </si>
  <si>
    <t xml:space="preserve">4. Données</t>
  </si>
  <si>
    <t xml:space="preserve">Elles restent dans votre navigateur. Pour un échange entre deux profils, faites les deux côtés sur le même appareil (déconnexion, puis l'autre compte).</t>
  </si>
  <si>
    <t xml:space="preserve">Pendant le test</t>
  </si>
  <si>
    <t xml:space="preserve">Résultat OK</t>
  </si>
  <si>
    <t xml:space="preserve">Tout se passe comme dans « Résultat attendu ».</t>
  </si>
  <si>
    <t xml:space="preserve">Résultat KO</t>
  </si>
  <si>
    <t xml:space="preserve">Le résultat est différent. Remplir la colonne H : ce que j'ai fait / ce que j'attendais / ce qui s'est passé.</t>
  </si>
  <si>
    <t xml:space="preserve">Résultat Bloqué</t>
  </si>
  <si>
    <t xml:space="preserve">Impossible d'aller au bout (bouton absent, page qui ne s'ouvre pas…). Expliquer en colonne H.</t>
  </si>
  <si>
    <t xml:space="preserve">Capture</t>
  </si>
  <si>
    <t xml:space="preserve">Faire une capture d'écran en cas de KO, la nommer « P1-&lt;N° du cas&gt;.png » et noter ce nom en colonne I.</t>
  </si>
  <si>
    <t xml:space="preserve">Exemple de ligne remplie</t>
  </si>
  <si>
    <t xml:space="preserve">N° / Cas</t>
  </si>
  <si>
    <t xml:space="preserve">A2 · Mauvais mot de passe</t>
  </si>
  <si>
    <t xml:space="preserve">Ce qui ne va pas</t>
  </si>
  <si>
    <t xml:space="preserve">Saisi tacko.samb@gmail.com + « abc ». Attendu : message d'erreur. Obtenu : la page reste blanche, aucun message.</t>
  </si>
  <si>
    <t xml:space="preserve">P1-A2.png</t>
  </si>
  <si>
    <t xml:space="preserve">À la fin</t>
  </si>
  <si>
    <t xml:space="preserve">Renvoyer ce fichier rempli. Les KO seront corrigés puis retestés.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</si>
</sst>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C2745"/>
      <name val="Arial"/>
      <family val="0"/>
      <charset val="1"/>
    </font>
    <font>
      <sz val="10"/>
      <color rgb="FF5D6B80"/>
      <name val="Arial"/>
      <family val="0"/>
      <charset val="1"/>
    </font>
    <font>
      <b val="true"/>
      <sz val="11"/>
      <color rgb="FF0C2745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D6B80"/>
      <name val="Arial"/>
      <family val="0"/>
      <charset val="1"/>
    </font>
    <font>
      <b val="true"/>
      <sz val="11"/>
      <color rgb="FF1C8A57"/>
      <name val="Arial"/>
      <family val="0"/>
      <charset val="1"/>
    </font>
    <font>
      <b val="true"/>
      <sz val="11"/>
      <color rgb="FFC2413A"/>
      <name val="Arial"/>
      <family val="0"/>
      <charset val="1"/>
    </font>
    <font>
      <b val="true"/>
      <sz val="11"/>
      <color rgb="FFB7791F"/>
      <name val="Arial"/>
      <family val="0"/>
      <charset val="1"/>
    </font>
    <font>
      <b val="true"/>
      <sz val="11"/>
      <color rgb="FF5D6B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5"/>
      <color rgb="FF0C2745"/>
      <name val="Arial"/>
      <family val="0"/>
      <charset val="1"/>
    </font>
    <font>
      <b val="true"/>
      <sz val="12"/>
      <color rgb="FFC89858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7E0"/>
        <bgColor rgb="FFFBF0DC"/>
      </patternFill>
    </fill>
    <fill>
      <patternFill patternType="solid">
        <fgColor rgb="FF0C2745"/>
        <bgColor rgb="FF333333"/>
      </patternFill>
    </fill>
    <fill>
      <patternFill patternType="solid">
        <fgColor rgb="FFF3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DE8"/>
      </left>
      <right style="thin">
        <color rgb="FFD5DDE8"/>
      </right>
      <top style="thin">
        <color rgb="FFD5DDE8"/>
      </top>
      <bottom style="thin">
        <color rgb="FFD5DD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C2745"/>
          <bgColor rgb="FF000000"/>
        </patternFill>
      </fill>
    </dxf>
    <dxf>
      <fill>
        <patternFill patternType="solid">
          <fgColor rgb="FFF3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E0"/>
          <bgColor rgb="FF000000"/>
        </patternFill>
      </fill>
    </dxf>
    <dxf>
      <font>
        <name val="Arial"/>
        <charset val="1"/>
        <family val="0"/>
        <b val="1"/>
        <color rgb="FF1C8A57"/>
      </font>
      <fill>
        <patternFill>
          <bgColor rgb="FFE3F3EA"/>
        </patternFill>
      </fill>
    </dxf>
    <dxf>
      <font>
        <name val="Arial"/>
        <charset val="1"/>
        <family val="0"/>
        <b val="1"/>
        <color rgb="FFC2413A"/>
      </font>
      <fill>
        <patternFill>
          <bgColor rgb="FFFBE7E5"/>
        </patternFill>
      </fill>
    </dxf>
    <dxf>
      <font>
        <name val="Arial"/>
        <charset val="1"/>
        <family val="0"/>
        <b val="1"/>
        <color rgb="FFB7791F"/>
      </font>
      <fill>
        <patternFill>
          <bgColor rgb="FFFBF0DC"/>
        </patternFill>
      </fill>
    </dxf>
    <dxf>
      <fill>
        <patternFill>
          <bgColor rgb="FFFBE7E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C0C0C0"/>
      <rgbColor rgb="FF808080"/>
      <rgbColor rgb="FF9999FF"/>
      <rgbColor rgb="FFC2413A"/>
      <rgbColor rgb="FFFFF7E0"/>
      <rgbColor rgb="FFE3F3EA"/>
      <rgbColor rgb="FF660066"/>
      <rgbColor rgb="FFFF8080"/>
      <rgbColor rgb="FF0066CC"/>
      <rgbColor rgb="FFD5DD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A"/>
      <rgbColor rgb="FFCCFFCC"/>
      <rgbColor rgb="FFFBF0DC"/>
      <rgbColor rgb="FF99CCFF"/>
      <rgbColor rgb="FFFF99CC"/>
      <rgbColor rgb="FFCC99FF"/>
      <rgbColor rgb="FFFBE7E5"/>
      <rgbColor rgb="FF3366FF"/>
      <rgbColor rgb="FF33CCCC"/>
      <rgbColor rgb="FF99CC00"/>
      <rgbColor rgb="FFFFCC00"/>
      <rgbColor rgb="FFFF9900"/>
      <rgbColor rgb="FFFF6600"/>
      <rgbColor rgb="FF5D6B80"/>
      <rgbColor rgb="FFC89858"/>
      <rgbColor rgb="FF0C2745"/>
      <rgbColor rgb="FF1C8A5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artifact/6UVqLB438w5itYoGGAmDya" TargetMode="External"/><Relationship Id="rId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claude.ai/artifact/6UVqLB438w5itYoGGAmDy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34"/>
    <col collapsed="false" customWidth="true" hidden="false" outlineLevel="0" max="6" min="5" style="0" width="46"/>
    <col collapsed="false" customWidth="true" hidden="false" outlineLevel="0" max="7" min="7" style="0" width="13"/>
    <col collapsed="false" customWidth="true" hidden="false" outlineLevel="0" max="8" min="8" style="0" width="42"/>
    <col collapsed="false" customWidth="true" hidden="false" outlineLevel="0" max="9" min="9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A4" s="3" t="s">
        <v>2</v>
      </c>
      <c r="B4" s="3"/>
      <c r="C4" s="4"/>
      <c r="E4" s="5" t="s">
        <v>3</v>
      </c>
      <c r="H4" s="6" t="s">
        <v>4</v>
      </c>
      <c r="I4" s="6"/>
    </row>
    <row r="5" customFormat="false" ht="15" hidden="false" customHeight="false" outlineLevel="0" collapsed="false">
      <c r="A5" s="3" t="s">
        <v>5</v>
      </c>
      <c r="B5" s="3"/>
      <c r="C5" s="4"/>
      <c r="E5" s="7" t="s">
        <v>6</v>
      </c>
      <c r="F5" s="8" t="n">
        <f aca="false">COUNTIF(G10:G26,"OK")</f>
        <v>0</v>
      </c>
      <c r="H5" s="6"/>
      <c r="I5" s="6"/>
    </row>
    <row r="6" customFormat="false" ht="15" hidden="false" customHeight="false" outlineLevel="0" collapsed="false">
      <c r="A6" s="3" t="s">
        <v>7</v>
      </c>
      <c r="B6" s="3"/>
      <c r="C6" s="4"/>
      <c r="E6" s="9" t="s">
        <v>8</v>
      </c>
      <c r="F6" s="10" t="n">
        <f aca="false">COUNTIF(G10:G26,"KO")</f>
        <v>0</v>
      </c>
      <c r="H6" s="6"/>
      <c r="I6" s="6"/>
    </row>
    <row r="7" customFormat="false" ht="15" hidden="false" customHeight="false" outlineLevel="0" collapsed="false">
      <c r="E7" s="11" t="s">
        <v>9</v>
      </c>
      <c r="F7" s="12" t="n">
        <f aca="false">COUNTIF(G10:G26,"Bloqué")</f>
        <v>0</v>
      </c>
      <c r="H7" s="6"/>
      <c r="I7" s="6"/>
    </row>
    <row r="8" customFormat="false" ht="15" hidden="false" customHeight="false" outlineLevel="0" collapsed="false">
      <c r="E8" s="13" t="s">
        <v>10</v>
      </c>
      <c r="F8" s="14" t="n">
        <f aca="false">COUNTA(A10:A26)-COUNTIF(G10:G26,"OK")-COUNTIF(G10:G26,"KO")-COUNTIF(G10:G26,"Bloqué")</f>
        <v>17</v>
      </c>
    </row>
    <row r="9" customFormat="false" ht="30" hidden="false" customHeight="true" outlineLevel="0" collapsed="false">
      <c r="A9" s="15" t="s">
        <v>11</v>
      </c>
      <c r="B9" s="15" t="s">
        <v>12</v>
      </c>
      <c r="C9" s="15" t="s">
        <v>13</v>
      </c>
      <c r="D9" s="15" t="s">
        <v>14</v>
      </c>
      <c r="E9" s="15" t="s">
        <v>15</v>
      </c>
      <c r="F9" s="15" t="s">
        <v>16</v>
      </c>
      <c r="G9" s="15" t="s">
        <v>17</v>
      </c>
      <c r="H9" s="15" t="s">
        <v>18</v>
      </c>
      <c r="I9" s="15" t="s">
        <v>19</v>
      </c>
    </row>
    <row r="10" customFormat="false" ht="45" hidden="false" customHeight="true" outlineLevel="0" collapsed="false">
      <c r="A10" s="16" t="s">
        <v>20</v>
      </c>
      <c r="B10" s="17" t="s">
        <v>21</v>
      </c>
      <c r="C10" s="17" t="s">
        <v>22</v>
      </c>
      <c r="D10" s="16" t="s">
        <v>23</v>
      </c>
      <c r="E10" s="17" t="s">
        <v>24</v>
      </c>
      <c r="F10" s="17" t="s">
        <v>25</v>
      </c>
      <c r="G10" s="18"/>
      <c r="H10" s="18"/>
      <c r="I10" s="18"/>
    </row>
    <row r="11" customFormat="false" ht="45" hidden="false" customHeight="true" outlineLevel="0" collapsed="false">
      <c r="A11" s="19" t="s">
        <v>26</v>
      </c>
      <c r="B11" s="20" t="s">
        <v>21</v>
      </c>
      <c r="C11" s="20" t="s">
        <v>22</v>
      </c>
      <c r="D11" s="19" t="s">
        <v>27</v>
      </c>
      <c r="E11" s="20" t="s">
        <v>28</v>
      </c>
      <c r="F11" s="20" t="s">
        <v>29</v>
      </c>
      <c r="G11" s="18"/>
      <c r="H11" s="18"/>
      <c r="I11" s="18"/>
    </row>
    <row r="12" customFormat="false" ht="45" hidden="false" customHeight="true" outlineLevel="0" collapsed="false">
      <c r="A12" s="16" t="s">
        <v>30</v>
      </c>
      <c r="B12" s="17" t="s">
        <v>21</v>
      </c>
      <c r="C12" s="17" t="s">
        <v>22</v>
      </c>
      <c r="D12" s="16" t="s">
        <v>31</v>
      </c>
      <c r="E12" s="17" t="s">
        <v>32</v>
      </c>
      <c r="F12" s="17" t="s">
        <v>33</v>
      </c>
      <c r="G12" s="18"/>
      <c r="H12" s="18"/>
      <c r="I12" s="18"/>
    </row>
    <row r="13" customFormat="false" ht="45" hidden="false" customHeight="true" outlineLevel="0" collapsed="false">
      <c r="A13" s="19" t="s">
        <v>34</v>
      </c>
      <c r="B13" s="20" t="s">
        <v>21</v>
      </c>
      <c r="C13" s="20" t="s">
        <v>22</v>
      </c>
      <c r="D13" s="19" t="s">
        <v>35</v>
      </c>
      <c r="E13" s="20" t="s">
        <v>36</v>
      </c>
      <c r="F13" s="20" t="s">
        <v>37</v>
      </c>
      <c r="G13" s="18"/>
      <c r="H13" s="18"/>
      <c r="I13" s="18"/>
    </row>
    <row r="14" customFormat="false" ht="45" hidden="false" customHeight="true" outlineLevel="0" collapsed="false">
      <c r="A14" s="16" t="s">
        <v>38</v>
      </c>
      <c r="B14" s="17" t="s">
        <v>21</v>
      </c>
      <c r="C14" s="17" t="s">
        <v>22</v>
      </c>
      <c r="D14" s="16" t="s">
        <v>39</v>
      </c>
      <c r="E14" s="17" t="s">
        <v>40</v>
      </c>
      <c r="F14" s="17" t="s">
        <v>41</v>
      </c>
      <c r="G14" s="18"/>
      <c r="H14" s="18"/>
      <c r="I14" s="18"/>
    </row>
    <row r="15" customFormat="false" ht="45" hidden="false" customHeight="true" outlineLevel="0" collapsed="false">
      <c r="A15" s="19" t="s">
        <v>42</v>
      </c>
      <c r="B15" s="20" t="s">
        <v>43</v>
      </c>
      <c r="C15" s="20" t="s">
        <v>44</v>
      </c>
      <c r="D15" s="19" t="s">
        <v>45</v>
      </c>
      <c r="E15" s="20" t="s">
        <v>46</v>
      </c>
      <c r="F15" s="20" t="s">
        <v>47</v>
      </c>
      <c r="G15" s="18"/>
      <c r="H15" s="18"/>
      <c r="I15" s="18"/>
    </row>
    <row r="16" customFormat="false" ht="45" hidden="false" customHeight="true" outlineLevel="0" collapsed="false">
      <c r="A16" s="16" t="s">
        <v>48</v>
      </c>
      <c r="B16" s="17" t="s">
        <v>43</v>
      </c>
      <c r="C16" s="17" t="s">
        <v>44</v>
      </c>
      <c r="D16" s="16" t="s">
        <v>49</v>
      </c>
      <c r="E16" s="17" t="s">
        <v>50</v>
      </c>
      <c r="F16" s="17" t="s">
        <v>51</v>
      </c>
      <c r="G16" s="18"/>
      <c r="H16" s="18"/>
      <c r="I16" s="18"/>
    </row>
    <row r="17" customFormat="false" ht="45" hidden="false" customHeight="true" outlineLevel="0" collapsed="false">
      <c r="A17" s="19" t="s">
        <v>52</v>
      </c>
      <c r="B17" s="20" t="s">
        <v>43</v>
      </c>
      <c r="C17" s="20" t="s">
        <v>44</v>
      </c>
      <c r="D17" s="19" t="s">
        <v>53</v>
      </c>
      <c r="E17" s="20" t="s">
        <v>54</v>
      </c>
      <c r="F17" s="20" t="s">
        <v>55</v>
      </c>
      <c r="G17" s="18"/>
      <c r="H17" s="18"/>
      <c r="I17" s="18"/>
    </row>
    <row r="18" customFormat="false" ht="45" hidden="false" customHeight="true" outlineLevel="0" collapsed="false">
      <c r="A18" s="16" t="s">
        <v>56</v>
      </c>
      <c r="B18" s="17" t="s">
        <v>43</v>
      </c>
      <c r="C18" s="17" t="s">
        <v>44</v>
      </c>
      <c r="D18" s="16" t="s">
        <v>57</v>
      </c>
      <c r="E18" s="17" t="s">
        <v>58</v>
      </c>
      <c r="F18" s="17" t="s">
        <v>59</v>
      </c>
      <c r="G18" s="18"/>
      <c r="H18" s="18"/>
      <c r="I18" s="18"/>
    </row>
    <row r="19" customFormat="false" ht="45" hidden="false" customHeight="true" outlineLevel="0" collapsed="false">
      <c r="A19" s="19" t="s">
        <v>60</v>
      </c>
      <c r="B19" s="20" t="s">
        <v>43</v>
      </c>
      <c r="C19" s="20" t="s">
        <v>44</v>
      </c>
      <c r="D19" s="19" t="s">
        <v>61</v>
      </c>
      <c r="E19" s="20" t="s">
        <v>62</v>
      </c>
      <c r="F19" s="20" t="s">
        <v>63</v>
      </c>
      <c r="G19" s="18"/>
      <c r="H19" s="18"/>
      <c r="I19" s="18"/>
    </row>
    <row r="20" customFormat="false" ht="45" hidden="false" customHeight="true" outlineLevel="0" collapsed="false">
      <c r="A20" s="16" t="s">
        <v>64</v>
      </c>
      <c r="B20" s="17" t="s">
        <v>43</v>
      </c>
      <c r="C20" s="17" t="s">
        <v>44</v>
      </c>
      <c r="D20" s="16" t="s">
        <v>65</v>
      </c>
      <c r="E20" s="17" t="s">
        <v>66</v>
      </c>
      <c r="F20" s="17" t="s">
        <v>67</v>
      </c>
      <c r="G20" s="18"/>
      <c r="H20" s="18"/>
      <c r="I20" s="18"/>
    </row>
    <row r="21" customFormat="false" ht="45" hidden="false" customHeight="true" outlineLevel="0" collapsed="false">
      <c r="A21" s="19" t="s">
        <v>68</v>
      </c>
      <c r="B21" s="20" t="s">
        <v>69</v>
      </c>
      <c r="C21" s="20" t="s">
        <v>70</v>
      </c>
      <c r="D21" s="19" t="s">
        <v>71</v>
      </c>
      <c r="E21" s="20" t="s">
        <v>72</v>
      </c>
      <c r="F21" s="20" t="s">
        <v>73</v>
      </c>
      <c r="G21" s="18"/>
      <c r="H21" s="18"/>
      <c r="I21" s="18"/>
    </row>
    <row r="22" customFormat="false" ht="45" hidden="false" customHeight="true" outlineLevel="0" collapsed="false">
      <c r="A22" s="16" t="s">
        <v>74</v>
      </c>
      <c r="B22" s="17" t="s">
        <v>69</v>
      </c>
      <c r="C22" s="17" t="s">
        <v>70</v>
      </c>
      <c r="D22" s="16" t="s">
        <v>75</v>
      </c>
      <c r="E22" s="17" t="s">
        <v>76</v>
      </c>
      <c r="F22" s="17" t="s">
        <v>77</v>
      </c>
      <c r="G22" s="18"/>
      <c r="H22" s="18"/>
      <c r="I22" s="18"/>
    </row>
    <row r="23" customFormat="false" ht="45" hidden="false" customHeight="true" outlineLevel="0" collapsed="false">
      <c r="A23" s="19" t="s">
        <v>78</v>
      </c>
      <c r="B23" s="20" t="s">
        <v>69</v>
      </c>
      <c r="C23" s="20" t="s">
        <v>70</v>
      </c>
      <c r="D23" s="19" t="s">
        <v>79</v>
      </c>
      <c r="E23" s="20" t="s">
        <v>80</v>
      </c>
      <c r="F23" s="20" t="s">
        <v>81</v>
      </c>
      <c r="G23" s="18"/>
      <c r="H23" s="18"/>
      <c r="I23" s="18"/>
    </row>
    <row r="24" customFormat="false" ht="45" hidden="false" customHeight="true" outlineLevel="0" collapsed="false">
      <c r="A24" s="16" t="s">
        <v>82</v>
      </c>
      <c r="B24" s="17" t="s">
        <v>69</v>
      </c>
      <c r="C24" s="17" t="s">
        <v>70</v>
      </c>
      <c r="D24" s="16" t="s">
        <v>83</v>
      </c>
      <c r="E24" s="17" t="s">
        <v>84</v>
      </c>
      <c r="F24" s="17" t="s">
        <v>85</v>
      </c>
      <c r="G24" s="18"/>
      <c r="H24" s="18"/>
      <c r="I24" s="18"/>
    </row>
    <row r="25" customFormat="false" ht="45" hidden="false" customHeight="true" outlineLevel="0" collapsed="false">
      <c r="A25" s="19" t="s">
        <v>86</v>
      </c>
      <c r="B25" s="20" t="s">
        <v>87</v>
      </c>
      <c r="C25" s="20" t="s">
        <v>88</v>
      </c>
      <c r="D25" s="19" t="s">
        <v>89</v>
      </c>
      <c r="E25" s="20" t="s">
        <v>90</v>
      </c>
      <c r="F25" s="20" t="s">
        <v>91</v>
      </c>
      <c r="G25" s="18"/>
      <c r="H25" s="18"/>
      <c r="I25" s="18"/>
    </row>
    <row r="26" customFormat="false" ht="45" hidden="false" customHeight="true" outlineLevel="0" collapsed="false">
      <c r="A26" s="16" t="s">
        <v>92</v>
      </c>
      <c r="B26" s="17" t="s">
        <v>93</v>
      </c>
      <c r="C26" s="17" t="s">
        <v>94</v>
      </c>
      <c r="D26" s="16" t="s">
        <v>95</v>
      </c>
      <c r="E26" s="17" t="s">
        <v>96</v>
      </c>
      <c r="F26" s="17" t="s">
        <v>97</v>
      </c>
      <c r="G26" s="18"/>
      <c r="H26" s="18"/>
      <c r="I26" s="18"/>
    </row>
  </sheetData>
  <autoFilter ref="A9:I26"/>
  <mergeCells count="4">
    <mergeCell ref="A4:B4"/>
    <mergeCell ref="H4:I7"/>
    <mergeCell ref="A5:B5"/>
    <mergeCell ref="A6:B6"/>
  </mergeCells>
  <conditionalFormatting sqref="G10:G26">
    <cfRule type="cellIs" priority="2" operator="equal" aboveAverage="0" equalAverage="0" bottom="0" percent="0" rank="0" text="" dxfId="5">
      <formula>"OK"</formula>
    </cfRule>
    <cfRule type="cellIs" priority="3" operator="equal" aboveAverage="0" equalAverage="0" bottom="0" percent="0" rank="0" text="" dxfId="6">
      <formula>"KO"</formula>
    </cfRule>
    <cfRule type="cellIs" priority="4" operator="equal" aboveAverage="0" equalAverage="0" bottom="0" percent="0" rank="0" text="" dxfId="7">
      <formula>"Bloqué"</formula>
    </cfRule>
  </conditionalFormatting>
  <conditionalFormatting sqref="H10:H26">
    <cfRule type="expression" priority="5" aboveAverage="0" equalAverage="0" bottom="0" percent="0" rank="0" text="" dxfId="8">
      <formula>AND(OR($G10="KO",$G10="Bloqué"),LEN($H10)=0)</formula>
    </cfRule>
  </conditionalFormatting>
  <dataValidations count="1">
    <dataValidation allowBlank="true" error="Choisissez OK, KO ou Bloqué." errorStyle="stop" errorTitle="Résultat" operator="between" showDropDown="false" showErrorMessage="true" showInputMessage="false" sqref="G10:G26" type="list">
      <formula1>"OK,KO,Bloqué"</formula1>
      <formula2>0</formula2>
    </dataValidation>
  </dataValidations>
  <hyperlinks>
    <hyperlink ref="A2" r:id="rId1" display="17 cas · démo front-end · application : https://claude.ai/artifact/6UVqLB438w5itYoGGAmDy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5"/>
  </cols>
  <sheetData>
    <row r="1" customFormat="false" ht="18.55" hidden="false" customHeight="false" outlineLevel="0" collapsed="false">
      <c r="B1" s="21" t="s">
        <v>98</v>
      </c>
    </row>
    <row r="3" customFormat="false" ht="15" hidden="false" customHeight="false" outlineLevel="0" collapsed="false">
      <c r="B3" s="22" t="s">
        <v>99</v>
      </c>
    </row>
    <row r="4" customFormat="false" ht="15" hidden="false" customHeight="false" outlineLevel="0" collapsed="false">
      <c r="B4" s="5" t="s">
        <v>100</v>
      </c>
      <c r="C4" s="23" t="s">
        <v>101</v>
      </c>
    </row>
    <row r="5" customFormat="false" ht="26.85" hidden="false" customHeight="false" outlineLevel="0" collapsed="false">
      <c r="B5" s="5" t="s">
        <v>102</v>
      </c>
      <c r="C5" s="24" t="s">
        <v>103</v>
      </c>
    </row>
    <row r="6" customFormat="false" ht="15" hidden="false" customHeight="false" outlineLevel="0" collapsed="false">
      <c r="B6" s="5" t="s">
        <v>104</v>
      </c>
      <c r="C6" s="24" t="s">
        <v>105</v>
      </c>
    </row>
    <row r="7" customFormat="false" ht="26.85" hidden="false" customHeight="false" outlineLevel="0" collapsed="false">
      <c r="B7" s="5" t="s">
        <v>106</v>
      </c>
      <c r="C7" s="24" t="s">
        <v>107</v>
      </c>
    </row>
    <row r="8" customFormat="false" ht="15" hidden="false" customHeight="false" outlineLevel="0" collapsed="false">
      <c r="B8" s="22" t="s">
        <v>108</v>
      </c>
    </row>
    <row r="9" customFormat="false" ht="15" hidden="false" customHeight="false" outlineLevel="0" collapsed="false">
      <c r="B9" s="5" t="s">
        <v>109</v>
      </c>
      <c r="C9" s="24" t="s">
        <v>110</v>
      </c>
    </row>
    <row r="10" customFormat="false" ht="15" hidden="false" customHeight="false" outlineLevel="0" collapsed="false">
      <c r="B10" s="5" t="s">
        <v>111</v>
      </c>
      <c r="C10" s="24" t="s">
        <v>112</v>
      </c>
    </row>
    <row r="11" customFormat="false" ht="15" hidden="false" customHeight="false" outlineLevel="0" collapsed="false">
      <c r="B11" s="5" t="s">
        <v>113</v>
      </c>
      <c r="C11" s="24" t="s">
        <v>114</v>
      </c>
    </row>
    <row r="12" customFormat="false" ht="26.85" hidden="false" customHeight="false" outlineLevel="0" collapsed="false">
      <c r="B12" s="5" t="s">
        <v>115</v>
      </c>
      <c r="C12" s="24" t="s">
        <v>116</v>
      </c>
    </row>
    <row r="13" customFormat="false" ht="15" hidden="false" customHeight="false" outlineLevel="0" collapsed="false">
      <c r="B13" s="22" t="s">
        <v>117</v>
      </c>
    </row>
    <row r="14" customFormat="false" ht="15" hidden="false" customHeight="false" outlineLevel="0" collapsed="false">
      <c r="B14" s="5" t="s">
        <v>118</v>
      </c>
      <c r="C14" s="24" t="s">
        <v>119</v>
      </c>
    </row>
    <row r="15" customFormat="false" ht="15" hidden="false" customHeight="false" outlineLevel="0" collapsed="false">
      <c r="B15" s="5" t="s">
        <v>17</v>
      </c>
      <c r="C15" s="24" t="s">
        <v>8</v>
      </c>
    </row>
    <row r="16" customFormat="false" ht="26.85" hidden="false" customHeight="false" outlineLevel="0" collapsed="false">
      <c r="B16" s="5" t="s">
        <v>120</v>
      </c>
      <c r="C16" s="24" t="s">
        <v>121</v>
      </c>
    </row>
    <row r="17" customFormat="false" ht="15" hidden="false" customHeight="false" outlineLevel="0" collapsed="false">
      <c r="B17" s="5" t="s">
        <v>115</v>
      </c>
      <c r="C17" s="24" t="s">
        <v>122</v>
      </c>
    </row>
    <row r="18" customFormat="false" ht="15" hidden="false" customHeight="false" outlineLevel="0" collapsed="false">
      <c r="B18" s="5" t="s">
        <v>123</v>
      </c>
      <c r="C18" s="24" t="s">
        <v>124</v>
      </c>
    </row>
  </sheetData>
  <hyperlinks>
    <hyperlink ref="C4" r:id="rId1" display="https://claude.ai/artifact/6UVqLB438w5itYoGGAmDya  (le lien doit vous avoir été partagé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2026-10-18T15:45:24Z</dcterms:created>
  <dc:creator>openpyxl</dc:creator>
  <dc:description/>
  <dc:language>en-US</dc:language>
  <cp:lastModifiedBy/>
  <dcterms:modified xsi:type="dcterms:W3CDTF">2026-10-18T15:45:24Z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