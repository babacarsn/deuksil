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 de test" sheetId="1" state="visible" r:id="rId3"/>
    <sheet name="Mode d'emploi" sheetId="2" state="visible" r:id="rId4"/>
  </sheets>
  <definedNames>
    <definedName function="false" hidden="false" localSheetId="0" name="_xlnm.Print_Titles" vbProcedure="false">'Cas de test'!$9:$9</definedName>
    <definedName function="false" hidden="true" localSheetId="0" name="_xlnm._FilterDatabase" vbProcedure="false">'Cas de test'!$A$9:$I$23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<sst xmlns="http://schemas.openxmlformats.org/spreadsheetml/2006/main" count="134" uniqueCount="109">
  <si>
    <t xml:space="preserve">Recette DEUKSIL — Partie 2 : Propriétaire</t>
  </si>
  <si>
    <t xml:space="preserve">14 cas · démo front-end · application : https://claude.ai/artifact/6UVqLB438w5itYoGGAmDya</t>
  </si>
  <si>
    <t xml:space="preserve">Testeur</t>
  </si>
  <si>
    <t xml:space="preserve">Synthèse</t>
  </si>
  <si>
    <t xml:space="preserve">À remplir : cellules jaunes (testeur, date, appareil), colonnes G « Résultat » (liste OK / KO / Bloqué), H « Ce qui ne va pas » et I « Capture ».</t>
  </si>
  <si>
    <t xml:space="preserve">Date du test</t>
  </si>
  <si>
    <t xml:space="preserve">OK</t>
  </si>
  <si>
    <t xml:space="preserve">Appareil / navigateur</t>
  </si>
  <si>
    <t xml:space="preserve">KO</t>
  </si>
  <si>
    <t xml:space="preserve">Bloqué</t>
  </si>
  <si>
    <t xml:space="preserve">À faire</t>
  </si>
  <si>
    <t xml:space="preserve">N°</t>
  </si>
  <si>
    <t xml:space="preserve">Section</t>
  </si>
  <si>
    <t xml:space="preserve">Compte à utiliser</t>
  </si>
  <si>
    <t xml:space="preserve">Cas à tester</t>
  </si>
  <si>
    <t xml:space="preserve">Étapes</t>
  </si>
  <si>
    <t xml:space="preserve">Résultat attendu</t>
  </si>
  <si>
    <t xml:space="preserve">Résultat</t>
  </si>
  <si>
    <t xml:space="preserve">Ce qui ne va pas (si KO / Bloqué)</t>
  </si>
  <si>
    <t xml:space="preserve">Capture (nom du fichier)</t>
  </si>
  <si>
    <t xml:space="preserve">P1</t>
  </si>
  <si>
    <t xml:space="preserve">Propriétaire</t>
  </si>
  <si>
    <t xml:space="preserve">mamadou.fall@gmail.com · demo123 (P8 : ousmane.ndiaye@gmail.com)</t>
  </si>
  <si>
    <t xml:space="preserve">Tableau de bord</t>
  </si>
  <si>
    <t xml:space="preserve">1. Se connecter en propriétaire</t>
  </si>
  <si>
    <t xml:space="preserve">Chiffres cohérents avec les biens ; chaque tuile ouvre la bonne page.</t>
  </si>
  <si>
    <t xml:space="preserve">P2</t>
  </si>
  <si>
    <t xml:space="preserve">Ajouter un appartement</t>
  </si>
  <si>
    <t xml:space="preserve">1. Ajouter un bien → remplir → Enregistrer et publier</t>
  </si>
  <si>
    <t xml:space="preserve">Le bien apparaît dans Mes biens ; erreurs affichées sous le champ fautif si un champ manque.</t>
  </si>
  <si>
    <t xml:space="preserve">P3</t>
  </si>
  <si>
    <t xml:space="preserve">Ajouter un terrain</t>
  </si>
  <si>
    <t xml:space="preserve">1. Type terrain, surface en hectares, statut foncier, documents</t>
  </si>
  <si>
    <t xml:space="preserve">Surface convertie en m², pas de champs chambres ; statut foncier enregistré.</t>
  </si>
  <si>
    <t xml:space="preserve">P4</t>
  </si>
  <si>
    <t xml:space="preserve">Modifier un bien</t>
  </si>
  <si>
    <t xml:space="preserve">1. Mes biens → Modifier → changer le prix → enregistrer</t>
  </si>
  <si>
    <t xml:space="preserve">Modification enregistrée sans repasser par la création.</t>
  </si>
  <si>
    <t xml:space="preserve">P5</t>
  </si>
  <si>
    <t xml:space="preserve">Demandes de visite</t>
  </si>
  <si>
    <t xml:space="preserve">1. Visites → Accepter / Refuser / Reporter</t>
  </si>
  <si>
    <t xml:space="preserve">Le statut change ; la demande d'un visiteur sans compte affiche son nom et téléphone.</t>
  </si>
  <si>
    <t xml:space="preserve">P6</t>
  </si>
  <si>
    <t xml:space="preserve">Planifier une visite</t>
  </si>
  <si>
    <t xml:space="preserve">1. Visites → Planifier → client sans compte, même créneau deux fois</t>
  </si>
  <si>
    <t xml:space="preserve">Visite créée ; le second créneau identique est signalé en conflit.</t>
  </si>
  <si>
    <t xml:space="preserve">P7</t>
  </si>
  <si>
    <t xml:space="preserve">Créer un bail et un locataire</t>
  </si>
  <si>
    <t xml:space="preserve">1. Locataires → nouveau bail</t>
  </si>
  <si>
    <t xml:space="preserve">Le bail apparaît ; un mot de passe provisoire du locataire s'affiche une seule fois (compte non démo).</t>
  </si>
  <si>
    <t xml:space="preserve">P8</t>
  </si>
  <si>
    <t xml:space="preserve">Loyers et retards (Thiès)</t>
  </si>
  <si>
    <t xml:space="preserve">1. Compte ousmane.ndiaye → cliquer « En retard »</t>
  </si>
  <si>
    <t xml:space="preserve">La liste des loyers s'ouvre filtrée sur les retards, bandeau « Filtré : … · Tout afficher ».</t>
  </si>
  <si>
    <t xml:space="preserve">P9</t>
  </si>
  <si>
    <t xml:space="preserve">Documents PDF</t>
  </si>
  <si>
    <t xml:space="preserve">1. Suivi du bail → quittance, contrat, état des lieux, reçu de caution</t>
  </si>
  <si>
    <t xml:space="preserve">Chaque PDF s'ouvre avec le logo et les bons montants.</t>
  </si>
  <si>
    <t xml:space="preserve">P10</t>
  </si>
  <si>
    <t xml:space="preserve">Lier son compte à une agence</t>
  </si>
  <si>
    <t xml:space="preserve">1. Profil → demander le lien avec Teranga Immobilier</t>
  </si>
  <si>
    <t xml:space="preserve">Demande envoyée ; l'agence doit l'accepter (voir T2).</t>
  </si>
  <si>
    <t xml:space="preserve">P11</t>
  </si>
  <si>
    <t xml:space="preserve">Règles de location</t>
  </si>
  <si>
    <t xml:space="preserve">1. Mon profil → Mes règles de location → reconduction tacite</t>
  </si>
  <si>
    <t xml:space="preserve">Réglage enregistré, désactivé par défaut.</t>
  </si>
  <si>
    <t xml:space="preserve">P12</t>
  </si>
  <si>
    <t xml:space="preserve">Travaux</t>
  </si>
  <si>
    <t xml:space="preserve">1. Travaux → nouvelle intervention</t>
  </si>
  <si>
    <t xml:space="preserve">Intervention enregistrée et visible dans la liste.</t>
  </si>
  <si>
    <t xml:space="preserve">T1</t>
  </si>
  <si>
    <t xml:space="preserve">Échanges entre profils</t>
  </si>
  <si>
    <t xml:space="preserve">Plusieurs comptes, dans le même navigateur</t>
  </si>
  <si>
    <t xml:space="preserve">Visite d'un client → propriétaire</t>
  </si>
  <si>
    <t xml:space="preserve">1. Client : demander une visite sur un bien de Mamadou Fall
2. Se connecter en propriétaire → Visites</t>
  </si>
  <si>
    <t xml:space="preserve">La demande est là avec le nom du client ; une notification est arrivée.</t>
  </si>
  <si>
    <t xml:space="preserve">U1</t>
  </si>
  <si>
    <t xml:space="preserve">Affichage et navigation</t>
  </si>
  <si>
    <t xml:space="preserve">Tout compte · ordinateur et téléphone</t>
  </si>
  <si>
    <t xml:space="preserve">Raccourcis</t>
  </si>
  <si>
    <t xml:space="preserve">1. Cliquer chaque tuile et raccourci des tableaux de bord</t>
  </si>
  <si>
    <t xml:space="preserve">Chacun ouvre la bonne section, filtrée si c'est un compteur.</t>
  </si>
  <si>
    <t xml:space="preserve">Mode d'emploi — Partie 2 : Propriétaire</t>
  </si>
  <si>
    <t xml:space="preserve">Avant de commencer</t>
  </si>
  <si>
    <t xml:space="preserve">1. Ouvrir l'application</t>
  </si>
  <si>
    <t xml:space="preserve">https://claude.ai/artifact/6UVqLB438w5itYoGGAmDya  (le lien doit vous avoir été partagé)</t>
  </si>
  <si>
    <t xml:space="preserve">2. Repartir de zéro</t>
  </si>
  <si>
    <t xml:space="preserve">Écran de connexion → bouton « Repartir de zéro » → confirmer. Tout le monde part des mêmes données.</t>
  </si>
  <si>
    <t xml:space="preserve">3. Se connecter</t>
  </si>
  <si>
    <t xml:space="preserve">« Guide de test » connecte en un clic, ou « Utiliser » à côté du compte indiqué dans la colonne C.</t>
  </si>
  <si>
    <t xml:space="preserve">4. Données</t>
  </si>
  <si>
    <t xml:space="preserve">Elles restent dans votre navigateur. Pour un échange entre deux profils, faites les deux côtés sur le même appareil (déconnexion, puis l'autre compte).</t>
  </si>
  <si>
    <t xml:space="preserve">Pendant le test</t>
  </si>
  <si>
    <t xml:space="preserve">Résultat OK</t>
  </si>
  <si>
    <t xml:space="preserve">Tout se passe comme dans « Résultat attendu ».</t>
  </si>
  <si>
    <t xml:space="preserve">Résultat KO</t>
  </si>
  <si>
    <t xml:space="preserve">Le résultat est différent. Remplir la colonne H : ce que j'ai fait / ce que j'attendais / ce qui s'est passé.</t>
  </si>
  <si>
    <t xml:space="preserve">Résultat Bloqué</t>
  </si>
  <si>
    <t xml:space="preserve">Impossible d'aller au bout (bouton absent, page qui ne s'ouvre pas…). Expliquer en colonne H.</t>
  </si>
  <si>
    <t xml:space="preserve">Capture</t>
  </si>
  <si>
    <t xml:space="preserve">Faire une capture d'écran en cas de KO, la nommer « P2-&lt;N° du cas&gt;.png » et noter ce nom en colonne I.</t>
  </si>
  <si>
    <t xml:space="preserve">Exemple de ligne remplie</t>
  </si>
  <si>
    <t xml:space="preserve">N° / Cas</t>
  </si>
  <si>
    <t xml:space="preserve">A2 · Mauvais mot de passe</t>
  </si>
  <si>
    <t xml:space="preserve">Ce qui ne va pas</t>
  </si>
  <si>
    <t xml:space="preserve">Saisi tacko.samb@gmail.com + « abc ». Attendu : message d'erreur. Obtenu : la page reste blanche, aucun message.</t>
  </si>
  <si>
    <t xml:space="preserve">P2-A2.png</t>
  </si>
  <si>
    <t xml:space="preserve">À la fin</t>
  </si>
  <si>
    <t xml:space="preserve">Renvoyer ce fichier rempli. Les KO seront corrigés puis retestés.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</si>
</sst>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C2745"/>
      <name val="Arial"/>
      <family val="0"/>
      <charset val="1"/>
    </font>
    <font>
      <sz val="10"/>
      <color rgb="FF5D6B80"/>
      <name val="Arial"/>
      <family val="0"/>
      <charset val="1"/>
    </font>
    <font>
      <b val="true"/>
      <sz val="11"/>
      <color rgb="FF0C2745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D6B80"/>
      <name val="Arial"/>
      <family val="0"/>
      <charset val="1"/>
    </font>
    <font>
      <b val="true"/>
      <sz val="11"/>
      <color rgb="FF1C8A57"/>
      <name val="Arial"/>
      <family val="0"/>
      <charset val="1"/>
    </font>
    <font>
      <b val="true"/>
      <sz val="11"/>
      <color rgb="FFC2413A"/>
      <name val="Arial"/>
      <family val="0"/>
      <charset val="1"/>
    </font>
    <font>
      <b val="true"/>
      <sz val="11"/>
      <color rgb="FFB7791F"/>
      <name val="Arial"/>
      <family val="0"/>
      <charset val="1"/>
    </font>
    <font>
      <b val="true"/>
      <sz val="11"/>
      <color rgb="FF5D6B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0C2745"/>
      <name val="Arial"/>
      <family val="0"/>
      <charset val="1"/>
    </font>
    <font>
      <b val="true"/>
      <sz val="12"/>
      <color rgb="FFC89858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E0"/>
        <bgColor rgb="FFFBF0DC"/>
      </patternFill>
    </fill>
    <fill>
      <patternFill patternType="solid">
        <fgColor rgb="FF0C2745"/>
        <bgColor rgb="FF333333"/>
      </patternFill>
    </fill>
    <fill>
      <patternFill patternType="solid">
        <fgColor rgb="FFF3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C2745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E0"/>
          <bgColor rgb="FF000000"/>
        </patternFill>
      </fill>
    </dxf>
    <dxf>
      <font>
        <name val="Arial"/>
        <charset val="1"/>
        <family val="0"/>
        <b val="1"/>
        <color rgb="FF1C8A57"/>
      </font>
      <fill>
        <patternFill>
          <bgColor rgb="FFE3F3EA"/>
        </patternFill>
      </fill>
    </dxf>
    <dxf>
      <font>
        <name val="Arial"/>
        <charset val="1"/>
        <family val="0"/>
        <b val="1"/>
        <color rgb="FFC2413A"/>
      </font>
      <fill>
        <patternFill>
          <bgColor rgb="FFFBE7E5"/>
        </patternFill>
      </fill>
    </dxf>
    <dxf>
      <font>
        <name val="Arial"/>
        <charset val="1"/>
        <family val="0"/>
        <b val="1"/>
        <color rgb="FFB7791F"/>
      </font>
      <fill>
        <patternFill>
          <bgColor rgb="FFFBF0DC"/>
        </patternFill>
      </fill>
    </dxf>
    <dxf>
      <fill>
        <patternFill>
          <bgColor rgb="FFFBE7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0C0C0"/>
      <rgbColor rgb="FF808080"/>
      <rgbColor rgb="FF9999FF"/>
      <rgbColor rgb="FFC2413A"/>
      <rgbColor rgb="FFFFF7E0"/>
      <rgbColor rgb="FFE3F3EA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CCFFCC"/>
      <rgbColor rgb="FFFBF0DC"/>
      <rgbColor rgb="FF99CCFF"/>
      <rgbColor rgb="FFFF99CC"/>
      <rgbColor rgb="FFCC99FF"/>
      <rgbColor rgb="FFFBE7E5"/>
      <rgbColor rgb="FF3366FF"/>
      <rgbColor rgb="FF33CCCC"/>
      <rgbColor rgb="FF99CC00"/>
      <rgbColor rgb="FFFFCC00"/>
      <rgbColor rgb="FFFF9900"/>
      <rgbColor rgb="FFFF6600"/>
      <rgbColor rgb="FF5D6B80"/>
      <rgbColor rgb="FFC89858"/>
      <rgbColor rgb="FF0C2745"/>
      <rgbColor rgb="FF1C8A5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6UVqLB438w5itYoGGAmDya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laude.ai/artifact/6UVqLB438w5itYoGGAmDy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6" min="5" style="0" width="46"/>
    <col collapsed="false" customWidth="true" hidden="false" outlineLevel="0" max="7" min="7" style="0" width="13"/>
    <col collapsed="false" customWidth="true" hidden="false" outlineLevel="0" max="8" min="8" style="0" width="42"/>
    <col collapsed="false" customWidth="true" hidden="false" outlineLevel="0" max="9" min="9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/>
      <c r="C4" s="4"/>
      <c r="E4" s="5" t="s">
        <v>3</v>
      </c>
      <c r="H4" s="6" t="s">
        <v>4</v>
      </c>
      <c r="I4" s="6"/>
    </row>
    <row r="5" customFormat="false" ht="15" hidden="false" customHeight="false" outlineLevel="0" collapsed="false">
      <c r="A5" s="3" t="s">
        <v>5</v>
      </c>
      <c r="B5" s="3"/>
      <c r="C5" s="4"/>
      <c r="E5" s="7" t="s">
        <v>6</v>
      </c>
      <c r="F5" s="8" t="n">
        <f aca="false">COUNTIF(G10:G23,"OK")</f>
        <v>0</v>
      </c>
      <c r="H5" s="6"/>
      <c r="I5" s="6"/>
    </row>
    <row r="6" customFormat="false" ht="15" hidden="false" customHeight="false" outlineLevel="0" collapsed="false">
      <c r="A6" s="3" t="s">
        <v>7</v>
      </c>
      <c r="B6" s="3"/>
      <c r="C6" s="4"/>
      <c r="E6" s="9" t="s">
        <v>8</v>
      </c>
      <c r="F6" s="10" t="n">
        <f aca="false">COUNTIF(G10:G23,"KO")</f>
        <v>0</v>
      </c>
      <c r="H6" s="6"/>
      <c r="I6" s="6"/>
    </row>
    <row r="7" customFormat="false" ht="15" hidden="false" customHeight="false" outlineLevel="0" collapsed="false">
      <c r="E7" s="11" t="s">
        <v>9</v>
      </c>
      <c r="F7" s="12" t="n">
        <f aca="false">COUNTIF(G10:G23,"Bloqué")</f>
        <v>0</v>
      </c>
      <c r="H7" s="6"/>
      <c r="I7" s="6"/>
    </row>
    <row r="8" customFormat="false" ht="15" hidden="false" customHeight="false" outlineLevel="0" collapsed="false">
      <c r="E8" s="13" t="s">
        <v>10</v>
      </c>
      <c r="F8" s="14" t="n">
        <f aca="false">COUNTA(A10:A23)-COUNTIF(G10:G23,"OK")-COUNTIF(G10:G23,"KO")-COUNTIF(G10:G23,"Bloqué")</f>
        <v>14</v>
      </c>
    </row>
    <row r="9" customFormat="false" ht="30" hidden="false" customHeight="true" outlineLevel="0" collapsed="false">
      <c r="A9" s="15" t="s">
        <v>11</v>
      </c>
      <c r="B9" s="15" t="s">
        <v>12</v>
      </c>
      <c r="C9" s="15" t="s">
        <v>13</v>
      </c>
      <c r="D9" s="15" t="s">
        <v>14</v>
      </c>
      <c r="E9" s="15" t="s">
        <v>15</v>
      </c>
      <c r="F9" s="15" t="s">
        <v>16</v>
      </c>
      <c r="G9" s="15" t="s">
        <v>17</v>
      </c>
      <c r="H9" s="15" t="s">
        <v>18</v>
      </c>
      <c r="I9" s="15" t="s">
        <v>19</v>
      </c>
    </row>
    <row r="10" customFormat="false" ht="45" hidden="false" customHeight="true" outlineLevel="0" collapsed="false">
      <c r="A10" s="16" t="s">
        <v>20</v>
      </c>
      <c r="B10" s="17" t="s">
        <v>21</v>
      </c>
      <c r="C10" s="17" t="s">
        <v>22</v>
      </c>
      <c r="D10" s="16" t="s">
        <v>23</v>
      </c>
      <c r="E10" s="17" t="s">
        <v>24</v>
      </c>
      <c r="F10" s="17" t="s">
        <v>25</v>
      </c>
      <c r="G10" s="18"/>
      <c r="H10" s="18"/>
      <c r="I10" s="18"/>
    </row>
    <row r="11" customFormat="false" ht="45" hidden="false" customHeight="true" outlineLevel="0" collapsed="false">
      <c r="A11" s="19" t="s">
        <v>26</v>
      </c>
      <c r="B11" s="20" t="s">
        <v>21</v>
      </c>
      <c r="C11" s="20" t="s">
        <v>22</v>
      </c>
      <c r="D11" s="19" t="s">
        <v>27</v>
      </c>
      <c r="E11" s="20" t="s">
        <v>28</v>
      </c>
      <c r="F11" s="20" t="s">
        <v>29</v>
      </c>
      <c r="G11" s="18"/>
      <c r="H11" s="18"/>
      <c r="I11" s="18"/>
    </row>
    <row r="12" customFormat="false" ht="45" hidden="false" customHeight="true" outlineLevel="0" collapsed="false">
      <c r="A12" s="16" t="s">
        <v>30</v>
      </c>
      <c r="B12" s="17" t="s">
        <v>21</v>
      </c>
      <c r="C12" s="17" t="s">
        <v>22</v>
      </c>
      <c r="D12" s="16" t="s">
        <v>31</v>
      </c>
      <c r="E12" s="17" t="s">
        <v>32</v>
      </c>
      <c r="F12" s="17" t="s">
        <v>33</v>
      </c>
      <c r="G12" s="18"/>
      <c r="H12" s="18"/>
      <c r="I12" s="18"/>
    </row>
    <row r="13" customFormat="false" ht="45" hidden="false" customHeight="true" outlineLevel="0" collapsed="false">
      <c r="A13" s="19" t="s">
        <v>34</v>
      </c>
      <c r="B13" s="20" t="s">
        <v>21</v>
      </c>
      <c r="C13" s="20" t="s">
        <v>22</v>
      </c>
      <c r="D13" s="19" t="s">
        <v>35</v>
      </c>
      <c r="E13" s="20" t="s">
        <v>36</v>
      </c>
      <c r="F13" s="20" t="s">
        <v>37</v>
      </c>
      <c r="G13" s="18"/>
      <c r="H13" s="18"/>
      <c r="I13" s="18"/>
    </row>
    <row r="14" customFormat="false" ht="45" hidden="false" customHeight="true" outlineLevel="0" collapsed="false">
      <c r="A14" s="16" t="s">
        <v>38</v>
      </c>
      <c r="B14" s="17" t="s">
        <v>21</v>
      </c>
      <c r="C14" s="17" t="s">
        <v>22</v>
      </c>
      <c r="D14" s="16" t="s">
        <v>39</v>
      </c>
      <c r="E14" s="17" t="s">
        <v>40</v>
      </c>
      <c r="F14" s="17" t="s">
        <v>41</v>
      </c>
      <c r="G14" s="18"/>
      <c r="H14" s="18"/>
      <c r="I14" s="18"/>
    </row>
    <row r="15" customFormat="false" ht="45" hidden="false" customHeight="true" outlineLevel="0" collapsed="false">
      <c r="A15" s="19" t="s">
        <v>42</v>
      </c>
      <c r="B15" s="20" t="s">
        <v>21</v>
      </c>
      <c r="C15" s="20" t="s">
        <v>22</v>
      </c>
      <c r="D15" s="19" t="s">
        <v>43</v>
      </c>
      <c r="E15" s="20" t="s">
        <v>44</v>
      </c>
      <c r="F15" s="20" t="s">
        <v>45</v>
      </c>
      <c r="G15" s="18"/>
      <c r="H15" s="18"/>
      <c r="I15" s="18"/>
    </row>
    <row r="16" customFormat="false" ht="45" hidden="false" customHeight="true" outlineLevel="0" collapsed="false">
      <c r="A16" s="16" t="s">
        <v>46</v>
      </c>
      <c r="B16" s="17" t="s">
        <v>21</v>
      </c>
      <c r="C16" s="17" t="s">
        <v>22</v>
      </c>
      <c r="D16" s="16" t="s">
        <v>47</v>
      </c>
      <c r="E16" s="17" t="s">
        <v>48</v>
      </c>
      <c r="F16" s="17" t="s">
        <v>49</v>
      </c>
      <c r="G16" s="18"/>
      <c r="H16" s="18"/>
      <c r="I16" s="18"/>
    </row>
    <row r="17" customFormat="false" ht="45" hidden="false" customHeight="true" outlineLevel="0" collapsed="false">
      <c r="A17" s="19" t="s">
        <v>50</v>
      </c>
      <c r="B17" s="20" t="s">
        <v>21</v>
      </c>
      <c r="C17" s="20" t="s">
        <v>22</v>
      </c>
      <c r="D17" s="19" t="s">
        <v>51</v>
      </c>
      <c r="E17" s="20" t="s">
        <v>52</v>
      </c>
      <c r="F17" s="20" t="s">
        <v>53</v>
      </c>
      <c r="G17" s="18"/>
      <c r="H17" s="18"/>
      <c r="I17" s="18"/>
    </row>
    <row r="18" customFormat="false" ht="45" hidden="false" customHeight="true" outlineLevel="0" collapsed="false">
      <c r="A18" s="16" t="s">
        <v>54</v>
      </c>
      <c r="B18" s="17" t="s">
        <v>21</v>
      </c>
      <c r="C18" s="17" t="s">
        <v>22</v>
      </c>
      <c r="D18" s="16" t="s">
        <v>55</v>
      </c>
      <c r="E18" s="17" t="s">
        <v>56</v>
      </c>
      <c r="F18" s="17" t="s">
        <v>57</v>
      </c>
      <c r="G18" s="18"/>
      <c r="H18" s="18"/>
      <c r="I18" s="18"/>
    </row>
    <row r="19" customFormat="false" ht="45" hidden="false" customHeight="true" outlineLevel="0" collapsed="false">
      <c r="A19" s="19" t="s">
        <v>58</v>
      </c>
      <c r="B19" s="20" t="s">
        <v>21</v>
      </c>
      <c r="C19" s="20" t="s">
        <v>22</v>
      </c>
      <c r="D19" s="19" t="s">
        <v>59</v>
      </c>
      <c r="E19" s="20" t="s">
        <v>60</v>
      </c>
      <c r="F19" s="20" t="s">
        <v>61</v>
      </c>
      <c r="G19" s="18"/>
      <c r="H19" s="18"/>
      <c r="I19" s="18"/>
    </row>
    <row r="20" customFormat="false" ht="45" hidden="false" customHeight="true" outlineLevel="0" collapsed="false">
      <c r="A20" s="16" t="s">
        <v>62</v>
      </c>
      <c r="B20" s="17" t="s">
        <v>21</v>
      </c>
      <c r="C20" s="17" t="s">
        <v>22</v>
      </c>
      <c r="D20" s="16" t="s">
        <v>63</v>
      </c>
      <c r="E20" s="17" t="s">
        <v>64</v>
      </c>
      <c r="F20" s="17" t="s">
        <v>65</v>
      </c>
      <c r="G20" s="18"/>
      <c r="H20" s="18"/>
      <c r="I20" s="18"/>
    </row>
    <row r="21" customFormat="false" ht="45" hidden="false" customHeight="true" outlineLevel="0" collapsed="false">
      <c r="A21" s="19" t="s">
        <v>66</v>
      </c>
      <c r="B21" s="20" t="s">
        <v>21</v>
      </c>
      <c r="C21" s="20" t="s">
        <v>22</v>
      </c>
      <c r="D21" s="19" t="s">
        <v>67</v>
      </c>
      <c r="E21" s="20" t="s">
        <v>68</v>
      </c>
      <c r="F21" s="20" t="s">
        <v>69</v>
      </c>
      <c r="G21" s="18"/>
      <c r="H21" s="18"/>
      <c r="I21" s="18"/>
    </row>
    <row r="22" customFormat="false" ht="45" hidden="false" customHeight="true" outlineLevel="0" collapsed="false">
      <c r="A22" s="16" t="s">
        <v>70</v>
      </c>
      <c r="B22" s="17" t="s">
        <v>71</v>
      </c>
      <c r="C22" s="17" t="s">
        <v>72</v>
      </c>
      <c r="D22" s="16" t="s">
        <v>73</v>
      </c>
      <c r="E22" s="17" t="s">
        <v>74</v>
      </c>
      <c r="F22" s="17" t="s">
        <v>75</v>
      </c>
      <c r="G22" s="18"/>
      <c r="H22" s="18"/>
      <c r="I22" s="18"/>
    </row>
    <row r="23" customFormat="false" ht="45" hidden="false" customHeight="true" outlineLevel="0" collapsed="false">
      <c r="A23" s="19" t="s">
        <v>76</v>
      </c>
      <c r="B23" s="20" t="s">
        <v>77</v>
      </c>
      <c r="C23" s="20" t="s">
        <v>78</v>
      </c>
      <c r="D23" s="19" t="s">
        <v>79</v>
      </c>
      <c r="E23" s="20" t="s">
        <v>80</v>
      </c>
      <c r="F23" s="20" t="s">
        <v>81</v>
      </c>
      <c r="G23" s="18"/>
      <c r="H23" s="18"/>
      <c r="I23" s="18"/>
    </row>
  </sheetData>
  <autoFilter ref="A9:I23"/>
  <mergeCells count="4">
    <mergeCell ref="A4:B4"/>
    <mergeCell ref="H4:I7"/>
    <mergeCell ref="A5:B5"/>
    <mergeCell ref="A6:B6"/>
  </mergeCells>
  <conditionalFormatting sqref="G10:G23">
    <cfRule type="cellIs" priority="2" operator="equal" aboveAverage="0" equalAverage="0" bottom="0" percent="0" rank="0" text="" dxfId="5">
      <formula>"OK"</formula>
    </cfRule>
    <cfRule type="cellIs" priority="3" operator="equal" aboveAverage="0" equalAverage="0" bottom="0" percent="0" rank="0" text="" dxfId="6">
      <formula>"KO"</formula>
    </cfRule>
    <cfRule type="cellIs" priority="4" operator="equal" aboveAverage="0" equalAverage="0" bottom="0" percent="0" rank="0" text="" dxfId="7">
      <formula>"Bloqué"</formula>
    </cfRule>
  </conditionalFormatting>
  <conditionalFormatting sqref="H10:H23">
    <cfRule type="expression" priority="5" aboveAverage="0" equalAverage="0" bottom="0" percent="0" rank="0" text="" dxfId="8">
      <formula>AND(OR($G10="KO",$G10="Bloqué"),LEN($H10)=0)</formula>
    </cfRule>
  </conditionalFormatting>
  <dataValidations count="1">
    <dataValidation allowBlank="true" error="Choisissez OK, KO ou Bloqué." errorStyle="stop" errorTitle="Résultat" operator="between" showDropDown="false" showErrorMessage="true" showInputMessage="false" sqref="G10:G23" type="list">
      <formula1>"OK,KO,Bloqué"</formula1>
      <formula2>0</formula2>
    </dataValidation>
  </dataValidations>
  <hyperlinks>
    <hyperlink ref="A2" r:id="rId1" display="14 cas · démo front-end · application : https://claude.ai/artifact/6UVqLB438w5itYoGGAmDy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18.55" hidden="false" customHeight="false" outlineLevel="0" collapsed="false">
      <c r="B1" s="21" t="s">
        <v>82</v>
      </c>
    </row>
    <row r="3" customFormat="false" ht="15" hidden="false" customHeight="false" outlineLevel="0" collapsed="false">
      <c r="B3" s="22" t="s">
        <v>83</v>
      </c>
    </row>
    <row r="4" customFormat="false" ht="15" hidden="false" customHeight="false" outlineLevel="0" collapsed="false">
      <c r="B4" s="5" t="s">
        <v>84</v>
      </c>
      <c r="C4" s="23" t="s">
        <v>85</v>
      </c>
    </row>
    <row r="5" customFormat="false" ht="26.85" hidden="false" customHeight="false" outlineLevel="0" collapsed="false">
      <c r="B5" s="5" t="s">
        <v>86</v>
      </c>
      <c r="C5" s="24" t="s">
        <v>87</v>
      </c>
    </row>
    <row r="6" customFormat="false" ht="15" hidden="false" customHeight="false" outlineLevel="0" collapsed="false">
      <c r="B6" s="5" t="s">
        <v>88</v>
      </c>
      <c r="C6" s="24" t="s">
        <v>89</v>
      </c>
    </row>
    <row r="7" customFormat="false" ht="26.85" hidden="false" customHeight="false" outlineLevel="0" collapsed="false">
      <c r="B7" s="5" t="s">
        <v>90</v>
      </c>
      <c r="C7" s="24" t="s">
        <v>91</v>
      </c>
    </row>
    <row r="8" customFormat="false" ht="15" hidden="false" customHeight="false" outlineLevel="0" collapsed="false">
      <c r="B8" s="22" t="s">
        <v>92</v>
      </c>
    </row>
    <row r="9" customFormat="false" ht="15" hidden="false" customHeight="false" outlineLevel="0" collapsed="false">
      <c r="B9" s="5" t="s">
        <v>93</v>
      </c>
      <c r="C9" s="24" t="s">
        <v>94</v>
      </c>
    </row>
    <row r="10" customFormat="false" ht="15" hidden="false" customHeight="false" outlineLevel="0" collapsed="false">
      <c r="B10" s="5" t="s">
        <v>95</v>
      </c>
      <c r="C10" s="24" t="s">
        <v>96</v>
      </c>
    </row>
    <row r="11" customFormat="false" ht="15" hidden="false" customHeight="false" outlineLevel="0" collapsed="false">
      <c r="B11" s="5" t="s">
        <v>97</v>
      </c>
      <c r="C11" s="24" t="s">
        <v>98</v>
      </c>
    </row>
    <row r="12" customFormat="false" ht="26.85" hidden="false" customHeight="false" outlineLevel="0" collapsed="false">
      <c r="B12" s="5" t="s">
        <v>99</v>
      </c>
      <c r="C12" s="24" t="s">
        <v>100</v>
      </c>
    </row>
    <row r="13" customFormat="false" ht="15" hidden="false" customHeight="false" outlineLevel="0" collapsed="false">
      <c r="B13" s="22" t="s">
        <v>101</v>
      </c>
    </row>
    <row r="14" customFormat="false" ht="15" hidden="false" customHeight="false" outlineLevel="0" collapsed="false">
      <c r="B14" s="5" t="s">
        <v>102</v>
      </c>
      <c r="C14" s="24" t="s">
        <v>103</v>
      </c>
    </row>
    <row r="15" customFormat="false" ht="15" hidden="false" customHeight="false" outlineLevel="0" collapsed="false">
      <c r="B15" s="5" t="s">
        <v>17</v>
      </c>
      <c r="C15" s="24" t="s">
        <v>8</v>
      </c>
    </row>
    <row r="16" customFormat="false" ht="26.85" hidden="false" customHeight="false" outlineLevel="0" collapsed="false">
      <c r="B16" s="5" t="s">
        <v>104</v>
      </c>
      <c r="C16" s="24" t="s">
        <v>105</v>
      </c>
    </row>
    <row r="17" customFormat="false" ht="15" hidden="false" customHeight="false" outlineLevel="0" collapsed="false">
      <c r="B17" s="5" t="s">
        <v>99</v>
      </c>
      <c r="C17" s="24" t="s">
        <v>106</v>
      </c>
    </row>
    <row r="18" customFormat="false" ht="15" hidden="false" customHeight="false" outlineLevel="0" collapsed="false">
      <c r="B18" s="5" t="s">
        <v>107</v>
      </c>
      <c r="C18" s="24" t="s">
        <v>108</v>
      </c>
    </row>
  </sheetData>
  <hyperlinks>
    <hyperlink ref="C4" r:id="rId1" display="https://claude.ai/artifact/6UVqLB438w5itYoGGAmDya  (le lien doit vous avoir été partagé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2026-10-18T15:45:24Z</dcterms:created>
  <dc:creator>openpyxl</dc:creator>
  <dc:description/>
  <dc:language>en-US</dc:language>
  <cp:lastModifiedBy/>
  <dcterms:modified xsi:type="dcterms:W3CDTF">2026-10-18T15:45:24Z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